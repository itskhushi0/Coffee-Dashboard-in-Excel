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166925"/>
  <mc:AlternateContent xmlns:mc="http://schemas.openxmlformats.org/markup-compatibility/2006">
    <mc:Choice Requires="x15">
      <x15ac:absPath xmlns:x15ac="http://schemas.microsoft.com/office/spreadsheetml/2010/11/ac" url="/Users/khushijoshi/Documents/Excel Projects/"/>
    </mc:Choice>
  </mc:AlternateContent>
  <xr:revisionPtr revIDLastSave="0" documentId="8_{50404B57-F50A-3841-9EE8-D98D2ADB9C42}" xr6:coauthVersionLast="47" xr6:coauthVersionMax="47" xr10:uidLastSave="{00000000-0000-0000-0000-000000000000}"/>
  <bookViews>
    <workbookView xWindow="180" yWindow="660" windowWidth="30040" windowHeight="1644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4" i="17"/>
  <c r="N15" i="17"/>
  <c r="N16" i="17"/>
  <c r="N38" i="17"/>
  <c r="N72" i="17"/>
  <c r="N81" i="17"/>
  <c r="N102" i="17"/>
  <c r="N135" i="17"/>
  <c r="N136" i="17"/>
  <c r="N137" i="17"/>
  <c r="N334" i="17"/>
  <c r="J7" i="17"/>
  <c r="O7"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I15" i="17"/>
  <c r="I16" i="17"/>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I73" i="17"/>
  <c r="N73" i="17" s="1"/>
  <c r="I74" i="17"/>
  <c r="N74" i="17" s="1"/>
  <c r="I75" i="17"/>
  <c r="N75" i="17" s="1"/>
  <c r="I76" i="17"/>
  <c r="N76" i="17" s="1"/>
  <c r="I77" i="17"/>
  <c r="N77" i="17" s="1"/>
  <c r="I78" i="17"/>
  <c r="N78" i="17" s="1"/>
  <c r="I79" i="17"/>
  <c r="N79" i="17" s="1"/>
  <c r="I80" i="17"/>
  <c r="N80" i="17" s="1"/>
  <c r="I81" i="17"/>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I136" i="17"/>
  <c r="I137" i="17"/>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3" i="17"/>
  <c r="O3" i="17" s="1"/>
  <c r="J4" i="17"/>
  <c r="O4" i="17" s="1"/>
  <c r="J5" i="17"/>
  <c r="O5" i="17" s="1"/>
  <c r="J6" i="17"/>
  <c r="O6"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I2" i="17"/>
  <c r="N2" i="17" s="1"/>
  <c r="K2" i="17"/>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<sst xmlns="http://schemas.openxmlformats.org/spreadsheetml/2006/main" count="11128" uniqueCount="6221">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</sst>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6" formatCode="dd\-mmm\-yyyy"/>
    <numFmt numFmtId="168" formatCode="0.0\ &quot;kg&quot;"/>
    <numFmt numFmtId="169"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38" fontId="0" fillId="0" borderId="0" xfId="0" applyNumberFormat="1"/>
    <xf numFmtId="44" fontId="0" fillId="0" borderId="0" xfId="0" applyNumberFormat="1"/>
  </cellXfs>
  <cellStyles count="1">
    <cellStyle name="Normal" xfId="0" builtinId="0"/>
  </cellStyles>
  <dxfs count="6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
    </dxf>
    <dxf>
      <numFmt numFmtId="169" formatCode="&quot;$&quot;#,##0.00"/>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FAEEFF"/>
      <color rgb="FFECE3FF"/>
      <color rgb="FFBAA5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solid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CountryBarChart!$A$4:$A$8</c:f>
              <c:strCache>
                <c:ptCount val="5"/>
                <c:pt idx="0">
                  <c:v>Don Flintiff</c:v>
                </c:pt>
                <c:pt idx="1">
                  <c:v>Nealson Cuttler</c:v>
                </c:pt>
                <c:pt idx="2">
                  <c:v>Terri Farra</c:v>
                </c:pt>
                <c:pt idx="3">
                  <c:v>Brenn Dundredge</c:v>
                </c:pt>
                <c:pt idx="4">
                  <c:v>Allis Wilmore</c:v>
                </c:pt>
              </c:strCache>
            </c:strRef>
          </c:cat>
          <c:val>
            <c:numRef>
              <c:f>CountryBarChart!$B$4:$B$8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1E3-3B46-8BFE-226124A5338B}"/>
            </c:ext>
          </c:extLst>
        </c:ser>
        <c:dLbls>
          <c:dLblPos val="outEnd"/>
          <c:showLegendKey val="0"/>
          <c:showVal val="1"/>
          <c:showCatName val="0"/>
          <c:showSerName val="0"/>
          <c:showPercent val="0"/>
          <c:showBubbleSize val="0"/>
        </c:dLbls>
        <c:gapWidth val="219"/>
        <c:axId val="876906240"/>
        <c:axId val="870597952"/>
      </c:barChart>
      <c:catAx>
        <c:axId val="8769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0597952"/>
        <c:crosses val="autoZero"/>
        <c:auto val="1"/>
        <c:lblAlgn val="ctr"/>
        <c:lblOffset val="100"/>
        <c:noMultiLvlLbl val="0"/>
      </c:catAx>
      <c:valAx>
        <c:axId val="8705979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69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[coffeeOrdersDashboard.xlsx]Top5Customers!TotalSales</c:name>
    <c:fmtId val="1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solid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50000"/>
            </a:schemeClr>
          </a:solidFill>
          <a:ln>
            <a:solidFill>
              <a:schemeClr val="bg1"/>
            </a:solid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50000"/>
            </a:schemeClr>
          </a:solidFill>
          <a:ln>
            <a:solidFill>
              <a:schemeClr val="bg1"/>
            </a:solid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50000"/>
            </a:schemeClr>
          </a:solidFill>
          <a:ln>
            <a:solidFill>
              <a:schemeClr val="bg1"/>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50000"/>
            </a:schemeClr>
          </a:solidFill>
          <a:ln>
            <a:solidFill>
              <a:schemeClr val="bg1"/>
            </a:solid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60000"/>
              <a:lumOff val="4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50000"/>
            </a:schemeClr>
          </a:solidFill>
          <a:ln>
            <a:solidFill>
              <a:schemeClr val="bg1"/>
            </a:solid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60000"/>
              <a:lumOff val="4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5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50000"/>
            </a:schemeClr>
          </a:solidFill>
          <a:ln>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9E1F-0A41-9097-03850AC9B28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E1F-0A41-9097-03850AC9B283}"/>
              </c:ext>
            </c:extLst>
          </c:dPt>
          <c:dPt>
            <c:idx val="2"/>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5-9E1F-0A41-9097-03850AC9B283}"/>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Top5Customers!$A$4:$A$6</c:f>
              <c:strCache>
                <c:ptCount val="3"/>
                <c:pt idx="0">
                  <c:v>Ireland</c:v>
                </c:pt>
                <c:pt idx="1">
                  <c:v>United Kingdom</c:v>
                </c:pt>
                <c:pt idx="2">
                  <c:v>United States</c:v>
                </c:pt>
              </c:strCache>
            </c:strRef>
          </c:cat>
          <c:val>
            <c:numRef>
              <c:f>Top5Customers!$B$4:$B$6</c:f>
              <c:numCache>
                <c:formatCode>_("$"* #,##0.00_);_("$"* \(#,##0.00\);_("$"*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6-9E1F-0A41-9097-03850AC9B283}"/>
            </c:ext>
          </c:extLst>
        </c:ser>
        <c:dLbls>
          <c:dLblPos val="outEnd"/>
          <c:showLegendKey val="0"/>
          <c:showVal val="1"/>
          <c:showCatName val="0"/>
          <c:showSerName val="0"/>
          <c:showPercent val="0"/>
          <c:showBubbleSize val="0"/>
        </c:dLbls>
        <c:gapWidth val="219"/>
        <c:axId val="876906240"/>
        <c:axId val="870597952"/>
      </c:barChart>
      <c:catAx>
        <c:axId val="8769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0597952"/>
        <c:crosses val="autoZero"/>
        <c:auto val="1"/>
        <c:lblAlgn val="ctr"/>
        <c:lblOffset val="100"/>
        <c:noMultiLvlLbl val="0"/>
      </c:catAx>
      <c:valAx>
        <c:axId val="8705979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69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[coffeeOrdersDashboard.xlsx]TotalSales!TotalSales</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21985133537681E-2"/>
          <c:y val="2.1501523718931111E-2"/>
          <c:w val="0.84017699217216613"/>
          <c:h val="0.87332222895215017"/>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0B4-9F44-885B-68DD68E8F0AA}"/>
            </c:ext>
          </c:extLst>
        </c:ser>
        <c:ser>
          <c:idx val="1"/>
          <c:order val="1"/>
          <c:tx>
            <c:strRef>
              <c:f>TotalSales!$D$3:$D$4</c:f>
              <c:strCache>
                <c:ptCount val="1"/>
                <c:pt idx="0">
                  <c:v>Excelsa</c:v>
                </c:pt>
              </c:strCache>
            </c:strRef>
          </c:tx>
          <c:spPr>
            <a:ln w="28575" cap="rnd">
              <a:solidFill>
                <a:schemeClr val="accent6">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B696-AA45-9B2D-959CD2502BD2}"/>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B696-AA45-9B2D-959CD2502BD2}"/>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B696-AA45-9B2D-959CD2502BD2}"/>
            </c:ext>
          </c:extLst>
        </c:ser>
        <c:dLbls>
          <c:showLegendKey val="0"/>
          <c:showVal val="0"/>
          <c:showCatName val="0"/>
          <c:showSerName val="0"/>
          <c:showPercent val="0"/>
          <c:showBubbleSize val="0"/>
        </c:dLbls>
        <c:smooth val="0"/>
        <c:axId val="794109568"/>
        <c:axId val="794104192"/>
      </c:lineChart>
      <c:catAx>
        <c:axId val="7941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4104192"/>
        <c:crosses val="autoZero"/>
        <c:auto val="1"/>
        <c:lblAlgn val="ctr"/>
        <c:lblOffset val="100"/>
        <c:noMultiLvlLbl val="0"/>
      </c:catAx>
      <c:valAx>
        <c:axId val="794104192"/>
        <c:scaling>
          <c:orientation val="minMax"/>
        </c:scaling>
        <c:delete val="0"/>
        <c:axPos val="l"/>
        <c:majorGridlines>
          <c:spPr>
            <a:ln w="1587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200"/>
                  <a:t>USD</a:t>
                </a:r>
              </a:p>
            </c:rich>
          </c:tx>
          <c:overlay val="0"/>
          <c:spPr>
            <a:noFill/>
            <a:ln w="15875">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4109568"/>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[coffeeOrdersDashboard.xlsx]TotalSales!TotalSales</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manualLayout>
          <c:layoutTarget val="inner"/>
          <c:xMode val="edge"/>
          <c:yMode val="edge"/>
          <c:x val="8.5721985133537681E-2"/>
          <c:y val="2.1501523718931111E-2"/>
          <c:w val="0.84017699217216613"/>
          <c:h val="0.87332222895215017"/>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94E-924D-B80E-FB72A0A1A82B}"/>
            </c:ext>
          </c:extLst>
        </c:ser>
        <c:ser>
          <c:idx val="1"/>
          <c:order val="1"/>
          <c:tx>
            <c:strRef>
              <c:f>TotalSales!$D$3:$D$4</c:f>
              <c:strCache>
                <c:ptCount val="1"/>
                <c:pt idx="0">
                  <c:v>Excelsa</c:v>
                </c:pt>
              </c:strCache>
            </c:strRef>
          </c:tx>
          <c:spPr>
            <a:ln w="28575" cap="rnd">
              <a:solidFill>
                <a:schemeClr val="accent6">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594E-924D-B80E-FB72A0A1A82B}"/>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594E-924D-B80E-FB72A0A1A82B}"/>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594E-924D-B80E-FB72A0A1A82B}"/>
            </c:ext>
          </c:extLst>
        </c:ser>
        <c:dLbls>
          <c:showLegendKey val="0"/>
          <c:showVal val="0"/>
          <c:showCatName val="0"/>
          <c:showSerName val="0"/>
          <c:showPercent val="0"/>
          <c:showBubbleSize val="0"/>
        </c:dLbls>
        <c:smooth val="0"/>
        <c:axId val="794109568"/>
        <c:axId val="794104192"/>
      </c:lineChart>
      <c:catAx>
        <c:axId val="7941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4104192"/>
        <c:crosses val="autoZero"/>
        <c:auto val="1"/>
        <c:lblAlgn val="ctr"/>
        <c:lblOffset val="100"/>
        <c:noMultiLvlLbl val="0"/>
      </c:catAx>
      <c:valAx>
        <c:axId val="794104192"/>
        <c:scaling>
          <c:orientation val="minMax"/>
        </c:scaling>
        <c:delete val="0"/>
        <c:axPos val="l"/>
        <c:majorGridlines>
          <c:spPr>
            <a:ln w="1587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200"/>
                  <a:t>USD</a:t>
                </a:r>
              </a:p>
            </c:rich>
          </c:tx>
          <c:overlay val="0"/>
          <c:spPr>
            <a:noFill/>
            <a:ln w="15875">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410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EF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[coffeeOrdersDashboard.xlsx]Top5Customers!TotalSales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solid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50000"/>
            </a:schemeClr>
          </a:solidFill>
          <a:ln>
            <a:solidFill>
              <a:schemeClr val="bg1"/>
            </a:solid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50000"/>
            </a:schemeClr>
          </a:solidFill>
          <a:ln>
            <a:solidFill>
              <a:schemeClr val="bg1"/>
            </a:solid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50000"/>
            </a:schemeClr>
          </a:solidFill>
          <a:ln>
            <a:solidFill>
              <a:schemeClr val="bg1"/>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50000"/>
            </a:schemeClr>
          </a:solidFill>
          <a:ln>
            <a:solidFill>
              <a:schemeClr val="bg1"/>
            </a:solidFill>
          </a:ln>
          <a:effectLst/>
        </c:spPr>
      </c:pivotFmt>
    </c:pivotFmts>
    <c:plotArea>
      <c:layout/>
      <c:barChart>
        <c:barDir val="col"/>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CFA2-3D45-A9A0-2A7126477D0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CFA2-3D45-A9A0-2A7126477D0F}"/>
              </c:ext>
            </c:extLst>
          </c:dPt>
          <c:dPt>
            <c:idx val="2"/>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5-CFA2-3D45-A9A0-2A7126477D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Top5Customers!$A$4:$A$6</c:f>
              <c:strCache>
                <c:ptCount val="3"/>
                <c:pt idx="0">
                  <c:v>Ireland</c:v>
                </c:pt>
                <c:pt idx="1">
                  <c:v>United Kingdom</c:v>
                </c:pt>
                <c:pt idx="2">
                  <c:v>United States</c:v>
                </c:pt>
              </c:strCache>
            </c:strRef>
          </c:cat>
          <c:val>
            <c:numRef>
              <c:f>Top5Customers!$B$4:$B$6</c:f>
              <c:numCache>
                <c:formatCode>_("$"* #,##0.00_);_("$"* \(#,##0.00\);_("$"*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6-CFA2-3D45-A9A0-2A7126477D0F}"/>
            </c:ext>
          </c:extLst>
        </c:ser>
        <c:dLbls>
          <c:dLblPos val="outEnd"/>
          <c:showLegendKey val="0"/>
          <c:showVal val="1"/>
          <c:showCatName val="0"/>
          <c:showSerName val="0"/>
          <c:showPercent val="0"/>
          <c:showBubbleSize val="0"/>
        </c:dLbls>
        <c:gapWidth val="219"/>
        <c:overlap val="-27"/>
        <c:axId val="876906240"/>
        <c:axId val="870597952"/>
      </c:barChart>
      <c:catAx>
        <c:axId val="8769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597952"/>
        <c:crosses val="autoZero"/>
        <c:auto val="1"/>
        <c:lblAlgn val="ctr"/>
        <c:lblOffset val="100"/>
        <c:noMultiLvlLbl val="0"/>
      </c:catAx>
      <c:valAx>
        <c:axId val="870597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9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solid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CountryBarChart!$A$4:$A$8</c:f>
              <c:strCache>
                <c:ptCount val="5"/>
                <c:pt idx="0">
                  <c:v>Don Flintiff</c:v>
                </c:pt>
                <c:pt idx="1">
                  <c:v>Nealson Cuttler</c:v>
                </c:pt>
                <c:pt idx="2">
                  <c:v>Terri Farra</c:v>
                </c:pt>
                <c:pt idx="3">
                  <c:v>Brenn Dundredge</c:v>
                </c:pt>
                <c:pt idx="4">
                  <c:v>Allis Wilmore</c:v>
                </c:pt>
              </c:strCache>
            </c:strRef>
          </c:cat>
          <c:val>
            <c:numRef>
              <c:f>CountryBarChart!$B$4:$B$8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DC1-E44C-8460-2867CF68635B}"/>
            </c:ext>
          </c:extLst>
        </c:ser>
        <c:dLbls>
          <c:dLblPos val="outEnd"/>
          <c:showLegendKey val="0"/>
          <c:showVal val="1"/>
          <c:showCatName val="0"/>
          <c:showSerName val="0"/>
          <c:showPercent val="0"/>
          <c:showBubbleSize val="0"/>
        </c:dLbls>
        <c:gapWidth val="219"/>
        <c:overlap val="-27"/>
        <c:axId val="876906240"/>
        <c:axId val="870597952"/>
      </c:barChart>
      <c:catAx>
        <c:axId val="8769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597952"/>
        <c:crosses val="autoZero"/>
        <c:auto val="1"/>
        <c:lblAlgn val="ctr"/>
        <c:lblOffset val="100"/>
        <c:noMultiLvlLbl val="0"/>
      </c:catAx>
      <c:valAx>
        <c:axId val="870597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9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4D422024-1622-C250-37A6-CDF0ED96F14F}"/>
            </a:ext>
          </a:extLst>
        </xdr:cNvPr>
        <xdr:cNvSpPr/>
      </xdr:nvSpPr>
      <xdr:spPr>
        <a:xfrm>
          <a:off x="139700" y="63500"/>
          <a:ext cx="20637500" cy="7620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000"/>
            <a:t>COFFEE</a:t>
          </a:r>
          <a:r>
            <a:rPr lang="en-US" sz="5000" baseline="0"/>
            <a:t> SALES DASHBOARD</a:t>
          </a:r>
          <a:endParaRPr lang="en-US" sz="5000"/>
        </a:p>
      </xdr:txBody>
    </xdr:sp>
    <xdr:clientData/>
  </xdr:twoCellAnchor>
  <xdr:twoCellAnchor editAs="oneCell">
    <xdr:from>
      <xdr:col>15</xdr:col>
      <xdr:colOff>6567</xdr:colOff>
      <xdr:row>9</xdr:row>
      <xdr:rowOff>135414</xdr:rowOff>
    </xdr:from>
    <xdr:to>
      <xdr:col>20</xdr:col>
      <xdr:colOff>377851</xdr:colOff>
      <xdr:row>14</xdr:row>
      <xdr:rowOff>136403</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F6A5E4D8-8123-1344-A0AC-BBA7FC92F77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669102" y="1781048"/>
              <a:ext cx="4485369" cy="98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32371</xdr:colOff>
      <xdr:row>5</xdr:row>
      <xdr:rowOff>185417</xdr:rowOff>
    </xdr:from>
    <xdr:to>
      <xdr:col>26</xdr:col>
      <xdr:colOff>0</xdr:colOff>
      <xdr:row>9</xdr:row>
      <xdr:rowOff>63125</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72126FAB-EFDD-E744-B60D-7321F9BF9616}"/>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694906" y="1044009"/>
              <a:ext cx="9018615" cy="66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16492</xdr:colOff>
      <xdr:row>26</xdr:row>
      <xdr:rowOff>83970</xdr:rowOff>
    </xdr:from>
    <xdr:to>
      <xdr:col>26</xdr:col>
      <xdr:colOff>0</xdr:colOff>
      <xdr:row>43</xdr:row>
      <xdr:rowOff>17888</xdr:rowOff>
    </xdr:to>
    <xdr:graphicFrame macro="">
      <xdr:nvGraphicFramePr>
        <xdr:cNvPr id="9" name="Chart 8">
          <a:extLst>
            <a:ext uri="{FF2B5EF4-FFF2-40B4-BE49-F238E27FC236}">
              <a16:creationId xmlns:a16="http://schemas.microsoft.com/office/drawing/2014/main" id="{A108DD2B-B31F-0640-8AD1-C3FA49C4B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461817</xdr:colOff>
      <xdr:row>9</xdr:row>
      <xdr:rowOff>136446</xdr:rowOff>
    </xdr:from>
    <xdr:to>
      <xdr:col>26</xdr:col>
      <xdr:colOff>10496</xdr:colOff>
      <xdr:row>14</xdr:row>
      <xdr:rowOff>136446</xdr:rowOff>
    </xdr:to>
    <mc:AlternateContent xmlns:mc="http://schemas.openxmlformats.org/markup-compatibility/2006">
      <mc:Choice xmlns:a14="http://schemas.microsoft.com/office/drawing/2010/main" Requires="a14">
        <xdr:graphicFrame macro="">
          <xdr:nvGraphicFramePr>
            <xdr:cNvPr id="17" name="Loyalty Card 2">
              <a:extLst>
                <a:ext uri="{FF2B5EF4-FFF2-40B4-BE49-F238E27FC236}">
                  <a16:creationId xmlns:a16="http://schemas.microsoft.com/office/drawing/2014/main" id="{AFE412A7-EC9D-BDCF-D070-59A52777FF42}"/>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6238437" y="1782080"/>
              <a:ext cx="4485580" cy="983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15</xdr:row>
      <xdr:rowOff>11214</xdr:rowOff>
    </xdr:from>
    <xdr:to>
      <xdr:col>26</xdr:col>
      <xdr:colOff>0</xdr:colOff>
      <xdr:row>26</xdr:row>
      <xdr:rowOff>98960</xdr:rowOff>
    </xdr:to>
    <xdr:graphicFrame macro="">
      <xdr:nvGraphicFramePr>
        <xdr:cNvPr id="20" name="Chart 19">
          <a:extLst>
            <a:ext uri="{FF2B5EF4-FFF2-40B4-BE49-F238E27FC236}">
              <a16:creationId xmlns:a16="http://schemas.microsoft.com/office/drawing/2014/main" id="{2C669D12-B892-84B1-3955-F82DDB206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299970</xdr:colOff>
      <xdr:row>14</xdr:row>
      <xdr:rowOff>17887</xdr:rowOff>
    </xdr:from>
    <xdr:to>
      <xdr:col>14</xdr:col>
      <xdr:colOff>804930</xdr:colOff>
      <xdr:row>42</xdr:row>
      <xdr:rowOff>152970</xdr:rowOff>
    </xdr:to>
    <xdr:graphicFrame macro="">
      <xdr:nvGraphicFramePr>
        <xdr:cNvPr id="22" name="Chart 21">
          <a:extLst>
            <a:ext uri="{FF2B5EF4-FFF2-40B4-BE49-F238E27FC236}">
              <a16:creationId xmlns:a16="http://schemas.microsoft.com/office/drawing/2014/main" id="{921ED656-8F84-E178-D0CC-9B186DBDB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329868</xdr:colOff>
      <xdr:row>6</xdr:row>
      <xdr:rowOff>0</xdr:rowOff>
    </xdr:from>
    <xdr:to>
      <xdr:col>15</xdr:col>
      <xdr:colOff>0</xdr:colOff>
      <xdr:row>13</xdr:row>
      <xdr:rowOff>77585</xdr:rowOff>
    </xdr:to>
    <mc:AlternateContent xmlns:mc="http://schemas.openxmlformats.org/markup-compatibility/2006">
      <mc:Choice xmlns:tsle="http://schemas.microsoft.com/office/drawing/2012/timeslicer" Requires="tsle">
        <xdr:graphicFrame macro="">
          <xdr:nvGraphicFramePr>
            <xdr:cNvPr id="23" name="Order Date 6">
              <a:extLst>
                <a:ext uri="{FF2B5EF4-FFF2-40B4-BE49-F238E27FC236}">
                  <a16:creationId xmlns:a16="http://schemas.microsoft.com/office/drawing/2014/main" id="{B4E296AD-7455-3955-0BCA-E74D5A677C9E}"/>
                </a:ext>
              </a:extLst>
            </xdr:cNvPr>
            <xdr:cNvGraphicFramePr/>
          </xdr:nvGraphicFramePr>
          <xdr:xfrm>
            <a:off x="0" y="0"/>
            <a:ext cx="0" cy="0"/>
          </xdr:xfrm>
          <a:graphic>
            <a:graphicData uri="http://schemas.microsoft.com/office/drawing/2012/timeslicer">
              <tsle:timeslicer xmlns:tsle="http://schemas.microsoft.com/office/drawing/2012/timeslicer" name="Order Date 6"/>
            </a:graphicData>
          </a:graphic>
        </xdr:graphicFrame>
      </mc:Choice>
      <mc:Fallback>
        <xdr:sp macro="" textlink="">
          <xdr:nvSpPr>
            <xdr:cNvPr id="0" name=""/>
            <xdr:cNvSpPr>
              <a:spLocks noTextEdit="1"/>
            </xdr:cNvSpPr>
          </xdr:nvSpPr>
          <xdr:spPr>
            <a:xfrm>
              <a:off x="472967" y="1055352"/>
              <a:ext cx="11189568" cy="14549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215900</xdr:colOff>
      <xdr:row>12</xdr:row>
      <xdr:rowOff>0</xdr:rowOff>
    </xdr:from>
    <xdr:to>
      <xdr:col>18</xdr:col>
      <xdr:colOff>292100</xdr:colOff>
      <xdr:row>41</xdr:row>
      <xdr:rowOff>152400</xdr:rowOff>
    </xdr:to>
    <xdr:graphicFrame macro="">
      <xdr:nvGraphicFramePr>
        <xdr:cNvPr id="3" name="Chart 2">
          <a:extLst>
            <a:ext uri="{FF2B5EF4-FFF2-40B4-BE49-F238E27FC236}">
              <a16:creationId xmlns:a16="http://schemas.microsoft.com/office/drawing/2014/main" id="{20320CA0-9122-2A11-DA49-E96C64519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228600</xdr:colOff>
      <xdr:row>2</xdr:row>
      <xdr:rowOff>177800</xdr:rowOff>
    </xdr:from>
    <xdr:to>
      <xdr:col>18</xdr:col>
      <xdr:colOff>38100</xdr:colOff>
      <xdr:row>10</xdr:row>
      <xdr:rowOff>101600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7C3E0719-BC47-E39D-BCF9-681A83DB7B6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613400" y="558800"/>
              <a:ext cx="9715500" cy="1447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76200</xdr:colOff>
      <xdr:row>43</xdr:row>
      <xdr:rowOff>101601</xdr:rowOff>
    </xdr:from>
    <xdr:to>
      <xdr:col>9</xdr:col>
      <xdr:colOff>254000</xdr:colOff>
      <xdr:row>48</xdr:row>
      <xdr:rowOff>139700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439BF5B5-827F-8BD3-A2D5-74B827170EB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286500" y="8293101"/>
              <a:ext cx="18288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685800</xdr:colOff>
      <xdr:row>43</xdr:row>
      <xdr:rowOff>165101</xdr:rowOff>
    </xdr:from>
    <xdr:to>
      <xdr:col>14</xdr:col>
      <xdr:colOff>419100</xdr:colOff>
      <xdr:row>47</xdr:row>
      <xdr:rowOff>63501</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30A5BB31-3F01-C6FA-3EA1-3BB0C9ADEB9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372600" y="8356601"/>
              <a:ext cx="3035300" cy="66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762000</xdr:colOff>
      <xdr:row>44</xdr:row>
      <xdr:rowOff>38101</xdr:rowOff>
    </xdr:from>
    <xdr:to>
      <xdr:col>17</xdr:col>
      <xdr:colOff>114300</xdr:colOff>
      <xdr:row>49</xdr:row>
      <xdr:rowOff>63501</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9D46056A-EDA1-03DF-7E14-AE451E00AC2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750800" y="8420101"/>
              <a:ext cx="182880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1066800</xdr:colOff>
      <xdr:row>12</xdr:row>
      <xdr:rowOff>63500</xdr:rowOff>
    </xdr:from>
    <xdr:to>
      <xdr:col>8</xdr:col>
      <xdr:colOff>152400</xdr:colOff>
      <xdr:row>26</xdr:row>
      <xdr:rowOff>139700</xdr:rowOff>
    </xdr:to>
    <xdr:graphicFrame macro="">
      <xdr:nvGraphicFramePr>
        <xdr:cNvPr id="9" name="Chart 8">
          <a:extLst>
            <a:ext uri="{FF2B5EF4-FFF2-40B4-BE49-F238E27FC236}">
              <a16:creationId xmlns:a16="http://schemas.microsoft.com/office/drawing/2014/main" id="{3F3C443C-5087-6049-964A-8AF31A15D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1</xdr:row>
      <xdr:rowOff>165100</xdr:rowOff>
    </xdr:from>
    <xdr:to>
      <xdr:col>12</xdr:col>
      <xdr:colOff>546100</xdr:colOff>
      <xdr:row>27</xdr:row>
      <xdr:rowOff>146050</xdr:rowOff>
    </xdr:to>
    <xdr:graphicFrame macro="">
      <xdr:nvGraphicFramePr>
        <xdr:cNvPr id="3" name="Chart 2">
          <a:extLst>
            <a:ext uri="{FF2B5EF4-FFF2-40B4-BE49-F238E27FC236}">
              <a16:creationId xmlns:a16="http://schemas.microsoft.com/office/drawing/2014/main" id="{87EAFD5E-D6A1-B04F-B67E-A7622081C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Joshi" refreshedDate="46075.817958101848" createdVersion="8" refreshedVersion="8" minRefreshableVersion="3" recordCount="1000" xr:uid="{5D107074-C3EF-B84B-B574-F143DA51396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09960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941DA-F9D1-254E-BBE8-3D663D22542D}"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8"/>
  </dataFields>
  <chartFormats count="1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 chart="10" format="15" series="1">
      <pivotArea type="data" outline="0" fieldPosition="0">
        <references count="2">
          <reference field="4294967294" count="1" selected="0">
            <x v="0"/>
          </reference>
          <reference field="13" count="1" selected="0">
            <x v="3"/>
          </reference>
        </references>
      </pivotArea>
    </chartFormat>
    <chartFormat chart="10" format="16"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E2009-2CA5-8548-8E94-DAE5951889C7}"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ubtotalTop="0" showAll="0"/>
    <pivotField compact="0" numFmtId="166" outline="0" subtotalTop="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ubtotalTop="0" showAll="0"/>
    <pivotField compact="0" outline="0" subtotalTop="0" showAll="0"/>
    <pivotField compact="0" outline="0" subtotalTop="0" showAll="0"/>
    <pivotField axis="axisRow" compact="0" outline="0" subtotalTop="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sortType="ascending">
      <items count="4">
        <item x="1"/>
        <item x="2"/>
        <item x="0"/>
        <item t="default"/>
      </items>
    </pivotField>
    <pivotField compact="0" outline="0" subtotalTop="0" showAll="0"/>
    <pivotField compact="0" outline="0" subtotalTop="0" showAll="0"/>
    <pivotField compact="0" numFmtId="168" outline="0" subtotalTop="0" showAll="0">
      <items count="5">
        <item x="3"/>
        <item x="1"/>
        <item x="0"/>
        <item x="2"/>
        <item t="default"/>
      </items>
    </pivotField>
    <pivotField compact="0" numFmtId="169" outline="0" subtotalTop="0" showAll="0"/>
    <pivotField dataField="1" compact="0" numFmtId="169" outline="0" subtotalTop="0" showAll="0"/>
    <pivotField compact="0" outline="0" subtotalTop="0" showAll="0">
      <items count="5">
        <item x="2"/>
        <item x="1"/>
        <item x="3"/>
        <item x="0"/>
        <item t="default"/>
      </items>
    </pivotField>
    <pivotField compact="0" outline="0" subtotalTop="0" showAll="0">
      <items count="4">
        <item x="2"/>
        <item x="1"/>
        <item x="0"/>
        <item t="default"/>
      </items>
    </pivotField>
    <pivotField compact="0" outline="0" subtotalTop="0" showAll="0">
      <items count="3">
        <item x="1"/>
        <item x="0"/>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0" baseItem="0" numFmtId="44"/>
  </dataFields>
  <formats count="1">
    <format dxfId="53">
      <pivotArea outline="0" collapsedLevelsAreSubtotals="1" fieldPosition="0"/>
    </format>
  </formats>
  <chartFormats count="3">
    <chartFormat chart="10" format="1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D9B289-F32A-5340-8321-D7AFE0378681}"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6" firstHeaderRow="1" firstDataRow="1" firstDataCol="1"/>
  <pivotFields count="18">
    <pivotField compact="0" outline="0" subtotalTop="0" showAll="0"/>
    <pivotField compact="0" numFmtId="166" outline="0" subtotalTop="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sortType="ascending">
      <items count="4">
        <item x="1"/>
        <item x="2"/>
        <item x="0"/>
        <item t="default"/>
      </items>
    </pivotField>
    <pivotField compact="0" outline="0" subtotalTop="0" showAll="0"/>
    <pivotField compact="0" outline="0" subtotalTop="0" showAll="0"/>
    <pivotField compact="0" numFmtId="168" outline="0" subtotalTop="0" showAll="0">
      <items count="5">
        <item x="3"/>
        <item x="1"/>
        <item x="0"/>
        <item x="2"/>
        <item t="default"/>
      </items>
    </pivotField>
    <pivotField compact="0" numFmtId="169" outline="0" subtotalTop="0" showAll="0"/>
    <pivotField dataField="1" compact="0" numFmtId="169" outline="0" subtotalTop="0" showAll="0"/>
    <pivotField compact="0" outline="0" subtotalTop="0" showAll="0">
      <items count="5">
        <item x="2"/>
        <item x="1"/>
        <item x="3"/>
        <item x="0"/>
        <item t="default"/>
      </items>
    </pivotField>
    <pivotField compact="0" outline="0" subtotalTop="0" showAll="0">
      <items count="4">
        <item x="2"/>
        <item x="1"/>
        <item x="0"/>
        <item t="default"/>
      </items>
    </pivotField>
    <pivotField compact="0" outline="0" subtotalTop="0" showAll="0">
      <items count="3">
        <item x="1"/>
        <item x="0"/>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s>
  <rowFields count="1">
    <field x="7"/>
  </rowFields>
  <rowItems count="3">
    <i>
      <x/>
    </i>
    <i>
      <x v="1"/>
    </i>
    <i>
      <x v="2"/>
    </i>
  </rowItems>
  <colItems count="1">
    <i/>
  </colItems>
  <dataFields count="1">
    <dataField name="Sum of Sales" fld="12" baseField="0" baseItem="0" numFmtId="44"/>
  </dataFields>
  <formats count="2">
    <format dxfId="51">
      <pivotArea outline="0" fieldPosition="0">
        <references count="1">
          <reference field="7" count="1" selected="0">
            <x v="1"/>
          </reference>
        </references>
      </pivotArea>
    </format>
    <format dxfId="52">
      <pivotArea outline="0" collapsedLevelsAreSubtotals="1" fieldPosition="0"/>
    </format>
  </formats>
  <chartFormats count="17">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0"/>
          </reference>
        </references>
      </pivotArea>
    </chartFormat>
    <chartFormat chart="7" format="4" series="1">
      <pivotArea type="data" outline="0" fieldPosition="0">
        <references count="2">
          <reference field="4294967294" count="1" selected="0">
            <x v="0"/>
          </reference>
          <reference field="7" count="1" selected="0">
            <x v="1"/>
          </reference>
        </references>
      </pivotArea>
    </chartFormat>
    <chartFormat chart="7" format="5" series="1">
      <pivotArea type="data" outline="0" fieldPosition="0">
        <references count="2">
          <reference field="4294967294" count="1" selected="0">
            <x v="0"/>
          </reference>
          <reference field="7" count="1" selected="0">
            <x v="2"/>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7" count="1" selected="0">
            <x v="0"/>
          </reference>
        </references>
      </pivotArea>
    </chartFormat>
    <chartFormat chart="13" format="20">
      <pivotArea type="data" outline="0" fieldPosition="0">
        <references count="2">
          <reference field="4294967294" count="1" selected="0">
            <x v="0"/>
          </reference>
          <reference field="7" count="1" selected="0">
            <x v="1"/>
          </reference>
        </references>
      </pivotArea>
    </chartFormat>
    <chartFormat chart="13" format="21">
      <pivotArea type="data" outline="0" fieldPosition="0">
        <references count="2">
          <reference field="4294967294" count="1" selected="0">
            <x v="0"/>
          </reference>
          <reference field="7" count="1" selected="0">
            <x v="2"/>
          </reference>
        </references>
      </pivotArea>
    </chartFormat>
    <chartFormat chart="19" format="30" series="1">
      <pivotArea type="data" outline="0" fieldPosition="0">
        <references count="1">
          <reference field="4294967294" count="1" selected="0">
            <x v="0"/>
          </reference>
        </references>
      </pivotArea>
    </chartFormat>
    <chartFormat chart="19" format="31">
      <pivotArea type="data" outline="0" fieldPosition="0">
        <references count="2">
          <reference field="4294967294" count="1" selected="0">
            <x v="0"/>
          </reference>
          <reference field="7" count="1" selected="0">
            <x v="0"/>
          </reference>
        </references>
      </pivotArea>
    </chartFormat>
    <chartFormat chart="19" format="32">
      <pivotArea type="data" outline="0" fieldPosition="0">
        <references count="2">
          <reference field="4294967294" count="1" selected="0">
            <x v="0"/>
          </reference>
          <reference field="7" count="1" selected="0">
            <x v="1"/>
          </reference>
        </references>
      </pivotArea>
    </chartFormat>
    <chartFormat chart="19" format="3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F285B37-22A8-0743-99B0-C9A9F97A3CCC}" sourceName="Size">
  <pivotTables>
    <pivotTable tabId="18" name="TotalSales"/>
    <pivotTable tabId="19" name="TotalSales"/>
    <pivotTable tabId="20" name="TotalSales"/>
  </pivotTables>
  <data>
    <tabular pivotCacheId="10996084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D11BDDB-0778-144A-A259-F04B04133401}" sourceName="Roast Type Name">
  <pivotTables>
    <pivotTable tabId="18" name="TotalSales"/>
    <pivotTable tabId="19" name="TotalSales"/>
    <pivotTable tabId="20" name="TotalSales"/>
  </pivotTables>
  <data>
    <tabular pivotCacheId="10996084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B23419F-28D9-034A-AF5C-4E1EEE2F6086}" sourceName="Loyalty Card">
  <pivotTables>
    <pivotTable tabId="18" name="TotalSales"/>
    <pivotTable tabId="19" name="TotalSales"/>
    <pivotTable tabId="20" name="TotalSales"/>
  </pivotTables>
  <data>
    <tabular pivotCacheId="10996084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7294576-978F-1242-9251-9B3DD86067EA}" cache="Slicer_Size" caption="Size" columnCount="2" style="SlicerStyleDark1" rowHeight="230716"/>
  <slicer name="Roast Type Name 1" xr10:uid="{2F45B0AF-DDFB-A84F-A8F5-7F2E6ADD93A4}" cache="Slicer_Roast_Type_Name" caption="Roast Type Name" columnCount="3" style="SlicerStyleDark1" rowHeight="230716"/>
  <slicer name="Loyalty Card 2" xr10:uid="{A646E667-BCEE-7643-810D-D2BC7CE79E1A}"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9263490-6FC0-3B41-AC8C-BA4B4A1A917C}" cache="Slicer_Size" caption="Size" columnCount="2" style="SlicerStyleDark1" rowHeight="230716"/>
  <slicer name="Roast Type Name" xr10:uid="{BA61C599-2A83-C947-A7FD-FC90F2D85B85}" cache="Slicer_Roast_Type_Name" caption="Roast Type Name" columnCount="3" style="SlicerStyleDark1" rowHeight="230716"/>
  <slicer name="Loyalty Card" xr10:uid="{BFE884BA-D78E-CB40-9992-9E552FCD259F}"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CF21B4-7C06-3F49-8375-F01FE8D59994}" name="Orders" displayName="Orders" ref="A1:P1001" totalsRowShown="0" headerRowDxfId="55">
  <autoFilter ref="A1:P1001" xr:uid="{3ECF21B4-7C06-3F49-8375-F01FE8D59994}"/>
  <tableColumns count="16">
    <tableColumn id="1" xr3:uid="{3CF4A303-83AD-F24D-9C68-45EDA5D95AA0}" name="Order ID" dataDxfId="65"/>
    <tableColumn id="2" xr3:uid="{AE4EEAD4-BAF2-204D-BCC5-BDC6BA3E9299}" name="Order Date" dataDxfId="64"/>
    <tableColumn id="3" xr3:uid="{2DCF1A3C-A9CC-AC42-8FA3-6C6ECA30D15E}" name="Customer ID" dataDxfId="63"/>
    <tableColumn id="4" xr3:uid="{8E7D385E-AC16-E748-94F6-15C52AE6A34F}" name="Product ID"/>
    <tableColumn id="5" xr3:uid="{36FCFDE5-6AC8-A34A-AC3C-A63F12829F94}" name="Quantity" dataDxfId="62"/>
    <tableColumn id="6" xr3:uid="{873A70F6-9420-C64C-9F83-ED8506B23509}" name="Customer Name" dataDxfId="61">
      <calculatedColumnFormula>_xlfn.XLOOKUP(C2,customers!$A$1:$A$1001,customers!$B$1:$B$1001,,0)</calculatedColumnFormula>
    </tableColumn>
    <tableColumn id="7" xr3:uid="{B19E8390-F2B8-604A-9942-E7DE99DE7301}" name="Email" dataDxfId="60">
      <calculatedColumnFormula>IF(_xlfn.XLOOKUP(C2,customers!$A$1:$A$1001,customers!$C$1:$C$1001,,0)=0,"",_xlfn.XLOOKUP(C2,customers!$A$1:$A$1001,customers!$C$1:$C$1001,,0))</calculatedColumnFormula>
    </tableColumn>
    <tableColumn id="8" xr3:uid="{3E104D80-C083-FF48-AA26-1B47FE2C4866}" name="Country" dataDxfId="59">
      <calculatedColumnFormula>_xlfn.XLOOKUP(C2,customers!$A$1:$A$1001,customers!$G$1:$G$1001,,0)</calculatedColumnFormula>
    </tableColumn>
    <tableColumn id="9" xr3:uid="{7163B717-7306-3440-9746-0D69BCA86613}" name="Coffee Type">
      <calculatedColumnFormula>INDEX(products!$A$1:$G$49,MATCH(orders!$D2,products!$A$1:$A$49,0),MATCH(orders!I$1,products!$A$1:$G$1,0))</calculatedColumnFormula>
    </tableColumn>
    <tableColumn id="10" xr3:uid="{C1672098-46CD-9743-8933-F775142C1266}" name="Roast Type">
      <calculatedColumnFormula>INDEX(products!$A$1:$G$49,MATCH(orders!$D2,products!$A$1:$A$49,0),MATCH(orders!J$1,products!$A$1:$G$1,0))</calculatedColumnFormula>
    </tableColumn>
    <tableColumn id="11" xr3:uid="{CA1A3F44-4231-8048-8CF2-579681DFD9DE}" name="Size" dataDxfId="58">
      <calculatedColumnFormula>INDEX(products!$A$1:$G$49,MATCH(orders!$D2,products!$A$1:$A$49,0),MATCH(orders!K$1,products!$A$1:$G$1,0))</calculatedColumnFormula>
    </tableColumn>
    <tableColumn id="12" xr3:uid="{B86DDD3A-8671-1C40-9D2B-1FEF3B10EA68}" name="Unit Price" dataDxfId="57">
      <calculatedColumnFormula>INDEX(products!$A$1:$G$49,MATCH(orders!$D2,products!$A$1:$A$49,0),MATCH(orders!L$1,products!$A$1:$G$1,0))</calculatedColumnFormula>
    </tableColumn>
    <tableColumn id="13" xr3:uid="{E2699F1A-FBA5-5443-BE0F-92979F2DAEEB}" name="Sales" dataDxfId="56">
      <calculatedColumnFormula>L2*E2</calculatedColumnFormula>
    </tableColumn>
    <tableColumn id="14" xr3:uid="{61F05D54-078A-5540-83D1-D009477A4DC0}" name="Coffee Type Name">
      <calculatedColumnFormula>IF(I2="Rob","Robusta",IF(I2="Exc","Excelsa",IF(I2="Ara","Arabica",IF(I2="Lib","Liberica",""))))</calculatedColumnFormula>
    </tableColumn>
    <tableColumn id="15" xr3:uid="{F30CBB00-A24B-E443-93D1-7A6ED58B281D}" name="Roast Type Name">
      <calculatedColumnFormula>IF(J2="M", "Medium", IF(J2="L","Light", IF(J2="D","Dark","")))</calculatedColumnFormula>
    </tableColumn>
    <tableColumn id="16" xr3:uid="{CB7ADA34-1B27-AB40-8F58-8B5D1D58F6FB}" name="Loyalty Card" dataDxfId="5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9945896-443A-5741-91E3-105078A5F1B6}" sourceName="Order Date">
  <pivotTables>
    <pivotTable tabId="18" name="TotalSales"/>
    <pivotTable tabId="19" name="TotalSales"/>
    <pivotTable tabId="20" name="TotalSales"/>
  </pivotTables>
  <state minimalRefreshVersion="6" lastRefreshVersion="6" pivotCacheId="10996084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6" xr10:uid="{1D18B931-E8AE-1E4D-B88A-D2C32300B2E8}" cache="NativeTimeline_Order_Date" caption="Order Date" level="2" selectionLevel="2" scrollPosition="2019-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8615D8C-251E-5344-AF1E-374093B47EBD}" cache="NativeTimeline_Order_Date" caption="Order Date" level="2" selectionLevel="2" scrollPosition="2019-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D48DB-1938-F543-9911-CC6E80D11293}">
  <dimension ref="A1"/>
  <sheetViews>
    <sheetView tabSelected="1" zoomScale="71" zoomScaleNormal="71" workbookViewId="0">
      <selection activeCell="AD28" sqref="AD28"/>
    </sheetView>
  </sheetViews>
  <sheetFormatPr baseColWidth="10" defaultRowHeight="15" x14ac:dyDescent="0.2"/>
  <cols>
    <col min="1" max="1" width="1.83203125" customWidth="1"/>
  </cols>
  <sheetData>
    <row r="1" ht="5" customHeight="1" x14ac:dyDescent="0.2"/>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77C3-B9F0-6042-A468-39DC6A56E577}">
  <dimension ref="A3:F48"/>
  <sheetViews>
    <sheetView topLeftCell="B1" workbookViewId="0">
      <selection activeCell="R44" sqref="R44"/>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7">
        <v>186.85499999999999</v>
      </c>
      <c r="D5" s="7">
        <v>305.97000000000003</v>
      </c>
      <c r="E5" s="7">
        <v>213.15999999999997</v>
      </c>
      <c r="F5" s="7">
        <v>123</v>
      </c>
    </row>
    <row r="6" spans="1:6" x14ac:dyDescent="0.2">
      <c r="B6" t="s">
        <v>6203</v>
      </c>
      <c r="C6" s="7">
        <v>251.96499999999997</v>
      </c>
      <c r="D6" s="7">
        <v>129.46</v>
      </c>
      <c r="E6" s="7">
        <v>434.03999999999996</v>
      </c>
      <c r="F6" s="7">
        <v>171.93999999999997</v>
      </c>
    </row>
    <row r="7" spans="1:6" x14ac:dyDescent="0.2">
      <c r="B7" t="s">
        <v>6204</v>
      </c>
      <c r="C7" s="7">
        <v>224.94499999999999</v>
      </c>
      <c r="D7" s="7">
        <v>349.12</v>
      </c>
      <c r="E7" s="7">
        <v>321.04000000000002</v>
      </c>
      <c r="F7" s="7">
        <v>126.035</v>
      </c>
    </row>
    <row r="8" spans="1:6" x14ac:dyDescent="0.2">
      <c r="B8" t="s">
        <v>6205</v>
      </c>
      <c r="C8" s="7">
        <v>307.12</v>
      </c>
      <c r="D8" s="7">
        <v>681.07499999999993</v>
      </c>
      <c r="E8" s="7">
        <v>533.70499999999993</v>
      </c>
      <c r="F8" s="7">
        <v>158.85</v>
      </c>
    </row>
    <row r="9" spans="1:6" x14ac:dyDescent="0.2">
      <c r="B9" t="s">
        <v>6206</v>
      </c>
      <c r="C9" s="7">
        <v>53.664999999999992</v>
      </c>
      <c r="D9" s="7">
        <v>83.025000000000006</v>
      </c>
      <c r="E9" s="7">
        <v>193.83499999999998</v>
      </c>
      <c r="F9" s="7">
        <v>68.039999999999992</v>
      </c>
    </row>
    <row r="10" spans="1:6" x14ac:dyDescent="0.2">
      <c r="B10" t="s">
        <v>6207</v>
      </c>
      <c r="C10" s="7">
        <v>163.01999999999998</v>
      </c>
      <c r="D10" s="7">
        <v>678.3599999999999</v>
      </c>
      <c r="E10" s="7">
        <v>171.04500000000002</v>
      </c>
      <c r="F10" s="7">
        <v>372.255</v>
      </c>
    </row>
    <row r="11" spans="1:6" x14ac:dyDescent="0.2">
      <c r="B11" t="s">
        <v>6208</v>
      </c>
      <c r="C11" s="7">
        <v>345.02</v>
      </c>
      <c r="D11" s="7">
        <v>273.86999999999995</v>
      </c>
      <c r="E11" s="7">
        <v>184.12999999999997</v>
      </c>
      <c r="F11" s="7">
        <v>201.11499999999998</v>
      </c>
    </row>
    <row r="12" spans="1:6" x14ac:dyDescent="0.2">
      <c r="B12" t="s">
        <v>6209</v>
      </c>
      <c r="C12" s="7">
        <v>334.89</v>
      </c>
      <c r="D12" s="7">
        <v>70.95</v>
      </c>
      <c r="E12" s="7">
        <v>134.23000000000002</v>
      </c>
      <c r="F12" s="7">
        <v>166.27499999999998</v>
      </c>
    </row>
    <row r="13" spans="1:6" x14ac:dyDescent="0.2">
      <c r="B13" t="s">
        <v>6210</v>
      </c>
      <c r="C13" s="7">
        <v>178.70999999999998</v>
      </c>
      <c r="D13" s="7">
        <v>166.1</v>
      </c>
      <c r="E13" s="7">
        <v>439.30999999999995</v>
      </c>
      <c r="F13" s="7">
        <v>492.9</v>
      </c>
    </row>
    <row r="14" spans="1:6" x14ac:dyDescent="0.2">
      <c r="B14" t="s">
        <v>6211</v>
      </c>
      <c r="C14" s="7">
        <v>301.98500000000001</v>
      </c>
      <c r="D14" s="7">
        <v>153.76499999999999</v>
      </c>
      <c r="E14" s="7">
        <v>215.55499999999998</v>
      </c>
      <c r="F14" s="7">
        <v>213.66499999999999</v>
      </c>
    </row>
    <row r="15" spans="1:6" x14ac:dyDescent="0.2">
      <c r="B15" t="s">
        <v>6212</v>
      </c>
      <c r="C15" s="7">
        <v>312.83499999999998</v>
      </c>
      <c r="D15" s="7">
        <v>63.249999999999993</v>
      </c>
      <c r="E15" s="7">
        <v>350.89500000000004</v>
      </c>
      <c r="F15" s="7">
        <v>96.405000000000001</v>
      </c>
    </row>
    <row r="16" spans="1:6" x14ac:dyDescent="0.2">
      <c r="B16" t="s">
        <v>6213</v>
      </c>
      <c r="C16" s="7">
        <v>265.62</v>
      </c>
      <c r="D16" s="7">
        <v>526.51499999999987</v>
      </c>
      <c r="E16" s="7">
        <v>187.06</v>
      </c>
      <c r="F16" s="7">
        <v>210.58999999999997</v>
      </c>
    </row>
    <row r="17" spans="1:6" x14ac:dyDescent="0.2">
      <c r="A17" t="s">
        <v>6199</v>
      </c>
      <c r="B17" t="s">
        <v>6202</v>
      </c>
      <c r="C17" s="7">
        <v>47.25</v>
      </c>
      <c r="D17" s="7">
        <v>65.805000000000007</v>
      </c>
      <c r="E17" s="7">
        <v>274.67500000000001</v>
      </c>
      <c r="F17" s="7">
        <v>179.22</v>
      </c>
    </row>
    <row r="18" spans="1:6" x14ac:dyDescent="0.2">
      <c r="B18" t="s">
        <v>6203</v>
      </c>
      <c r="C18" s="7">
        <v>745.44999999999993</v>
      </c>
      <c r="D18" s="7">
        <v>428.88499999999999</v>
      </c>
      <c r="E18" s="7">
        <v>194.17499999999998</v>
      </c>
      <c r="F18" s="7">
        <v>429.82999999999993</v>
      </c>
    </row>
    <row r="19" spans="1:6" x14ac:dyDescent="0.2">
      <c r="B19" t="s">
        <v>6204</v>
      </c>
      <c r="C19" s="7">
        <v>130.47</v>
      </c>
      <c r="D19" s="7">
        <v>271.48500000000001</v>
      </c>
      <c r="E19" s="7">
        <v>281.20499999999998</v>
      </c>
      <c r="F19" s="7">
        <v>231.63000000000002</v>
      </c>
    </row>
    <row r="20" spans="1:6" x14ac:dyDescent="0.2">
      <c r="B20" t="s">
        <v>6205</v>
      </c>
      <c r="C20" s="7">
        <v>27</v>
      </c>
      <c r="D20" s="7">
        <v>347.26</v>
      </c>
      <c r="E20" s="7">
        <v>147.51</v>
      </c>
      <c r="F20" s="7">
        <v>240.04</v>
      </c>
    </row>
    <row r="21" spans="1:6" x14ac:dyDescent="0.2">
      <c r="B21" t="s">
        <v>6206</v>
      </c>
      <c r="C21" s="7">
        <v>255.11499999999995</v>
      </c>
      <c r="D21" s="7">
        <v>541.73</v>
      </c>
      <c r="E21" s="7">
        <v>83.43</v>
      </c>
      <c r="F21" s="7">
        <v>59.079999999999991</v>
      </c>
    </row>
    <row r="22" spans="1:6" x14ac:dyDescent="0.2">
      <c r="B22" t="s">
        <v>6207</v>
      </c>
      <c r="C22" s="7">
        <v>584.78999999999985</v>
      </c>
      <c r="D22" s="7">
        <v>357.42999999999995</v>
      </c>
      <c r="E22" s="7">
        <v>355.34</v>
      </c>
      <c r="F22" s="7">
        <v>140.88</v>
      </c>
    </row>
    <row r="23" spans="1:6" x14ac:dyDescent="0.2">
      <c r="B23" t="s">
        <v>6208</v>
      </c>
      <c r="C23" s="7">
        <v>430.62</v>
      </c>
      <c r="D23" s="7">
        <v>227.42500000000001</v>
      </c>
      <c r="E23" s="7">
        <v>236.315</v>
      </c>
      <c r="F23" s="7">
        <v>414.58499999999992</v>
      </c>
    </row>
    <row r="24" spans="1:6" x14ac:dyDescent="0.2">
      <c r="B24" t="s">
        <v>6209</v>
      </c>
      <c r="C24" s="7">
        <v>22.5</v>
      </c>
      <c r="D24" s="7">
        <v>77.72</v>
      </c>
      <c r="E24" s="7">
        <v>60.5</v>
      </c>
      <c r="F24" s="7">
        <v>139.67999999999998</v>
      </c>
    </row>
    <row r="25" spans="1:6" x14ac:dyDescent="0.2">
      <c r="B25" t="s">
        <v>6210</v>
      </c>
      <c r="C25" s="7">
        <v>126.14999999999999</v>
      </c>
      <c r="D25" s="7">
        <v>195.11</v>
      </c>
      <c r="E25" s="7">
        <v>89.13</v>
      </c>
      <c r="F25" s="7">
        <v>302.65999999999997</v>
      </c>
    </row>
    <row r="26" spans="1:6" x14ac:dyDescent="0.2">
      <c r="B26" t="s">
        <v>6211</v>
      </c>
      <c r="C26" s="7">
        <v>376.03</v>
      </c>
      <c r="D26" s="7">
        <v>523.24</v>
      </c>
      <c r="E26" s="7">
        <v>440.96499999999997</v>
      </c>
      <c r="F26" s="7">
        <v>174.46999999999997</v>
      </c>
    </row>
    <row r="27" spans="1:6" x14ac:dyDescent="0.2">
      <c r="B27" t="s">
        <v>6212</v>
      </c>
      <c r="C27" s="7">
        <v>515.17999999999995</v>
      </c>
      <c r="D27" s="7">
        <v>142.56</v>
      </c>
      <c r="E27" s="7">
        <v>347.03999999999996</v>
      </c>
      <c r="F27" s="7">
        <v>104.08499999999999</v>
      </c>
    </row>
    <row r="28" spans="1:6" x14ac:dyDescent="0.2">
      <c r="B28" t="s">
        <v>6213</v>
      </c>
      <c r="C28" s="7">
        <v>95.859999999999985</v>
      </c>
      <c r="D28" s="7">
        <v>484.76</v>
      </c>
      <c r="E28" s="7">
        <v>94.17</v>
      </c>
      <c r="F28" s="7">
        <v>77.10499999999999</v>
      </c>
    </row>
    <row r="29" spans="1:6" x14ac:dyDescent="0.2">
      <c r="A29" t="s">
        <v>6200</v>
      </c>
      <c r="B29" t="s">
        <v>6202</v>
      </c>
      <c r="C29" s="7">
        <v>258.34500000000003</v>
      </c>
      <c r="D29" s="7">
        <v>139.625</v>
      </c>
      <c r="E29" s="7">
        <v>279.52000000000004</v>
      </c>
      <c r="F29" s="7">
        <v>160.19499999999999</v>
      </c>
    </row>
    <row r="30" spans="1:6" x14ac:dyDescent="0.2">
      <c r="B30" t="s">
        <v>6203</v>
      </c>
      <c r="C30" s="7">
        <v>342.2</v>
      </c>
      <c r="D30" s="7">
        <v>284.24999999999994</v>
      </c>
      <c r="E30" s="7">
        <v>251.83</v>
      </c>
      <c r="F30" s="7">
        <v>80.550000000000011</v>
      </c>
    </row>
    <row r="31" spans="1:6" x14ac:dyDescent="0.2">
      <c r="B31" t="s">
        <v>6204</v>
      </c>
      <c r="C31" s="7">
        <v>418.30499999999989</v>
      </c>
      <c r="D31" s="7">
        <v>468.125</v>
      </c>
      <c r="E31" s="7">
        <v>405.05500000000006</v>
      </c>
      <c r="F31" s="7">
        <v>253.15499999999997</v>
      </c>
    </row>
    <row r="32" spans="1:6" x14ac:dyDescent="0.2">
      <c r="B32" t="s">
        <v>6205</v>
      </c>
      <c r="C32" s="7">
        <v>102.32999999999998</v>
      </c>
      <c r="D32" s="7">
        <v>242.14000000000001</v>
      </c>
      <c r="E32" s="7">
        <v>554.875</v>
      </c>
      <c r="F32" s="7">
        <v>106.23999999999998</v>
      </c>
    </row>
    <row r="33" spans="1:6" x14ac:dyDescent="0.2">
      <c r="B33" t="s">
        <v>6206</v>
      </c>
      <c r="C33" s="7">
        <v>234.71999999999997</v>
      </c>
      <c r="D33" s="7">
        <v>133.08000000000001</v>
      </c>
      <c r="E33" s="7">
        <v>267.2</v>
      </c>
      <c r="F33" s="7">
        <v>272.68999999999994</v>
      </c>
    </row>
    <row r="34" spans="1:6" x14ac:dyDescent="0.2">
      <c r="B34" t="s">
        <v>6207</v>
      </c>
      <c r="C34" s="7">
        <v>430.39</v>
      </c>
      <c r="D34" s="7">
        <v>136.20500000000001</v>
      </c>
      <c r="E34" s="7">
        <v>209.6</v>
      </c>
      <c r="F34" s="7">
        <v>88.334999999999994</v>
      </c>
    </row>
    <row r="35" spans="1:6" x14ac:dyDescent="0.2">
      <c r="B35" t="s">
        <v>6208</v>
      </c>
      <c r="C35" s="7">
        <v>109.005</v>
      </c>
      <c r="D35" s="7">
        <v>393.57499999999999</v>
      </c>
      <c r="E35" s="7">
        <v>61.034999999999997</v>
      </c>
      <c r="F35" s="7">
        <v>199.48999999999998</v>
      </c>
    </row>
    <row r="36" spans="1:6" x14ac:dyDescent="0.2">
      <c r="B36" t="s">
        <v>6209</v>
      </c>
      <c r="C36" s="7">
        <v>287.52499999999998</v>
      </c>
      <c r="D36" s="7">
        <v>288.67</v>
      </c>
      <c r="E36" s="7">
        <v>125.58</v>
      </c>
      <c r="F36" s="7">
        <v>374.13499999999999</v>
      </c>
    </row>
    <row r="37" spans="1:6" x14ac:dyDescent="0.2">
      <c r="B37" t="s">
        <v>6210</v>
      </c>
      <c r="C37" s="7">
        <v>840.92999999999984</v>
      </c>
      <c r="D37" s="7">
        <v>409.875</v>
      </c>
      <c r="E37" s="7">
        <v>171.32999999999998</v>
      </c>
      <c r="F37" s="7">
        <v>221.43999999999997</v>
      </c>
    </row>
    <row r="38" spans="1:6" x14ac:dyDescent="0.2">
      <c r="B38" t="s">
        <v>6211</v>
      </c>
      <c r="C38" s="7">
        <v>299.07</v>
      </c>
      <c r="D38" s="7">
        <v>260.32499999999999</v>
      </c>
      <c r="E38" s="7">
        <v>584.64</v>
      </c>
      <c r="F38" s="7">
        <v>256.36500000000001</v>
      </c>
    </row>
    <row r="39" spans="1:6" x14ac:dyDescent="0.2">
      <c r="B39" t="s">
        <v>6212</v>
      </c>
      <c r="C39" s="7">
        <v>323.32499999999999</v>
      </c>
      <c r="D39" s="7">
        <v>565.57000000000005</v>
      </c>
      <c r="E39" s="7">
        <v>537.80999999999995</v>
      </c>
      <c r="F39" s="7">
        <v>189.47499999999999</v>
      </c>
    </row>
    <row r="40" spans="1:6" x14ac:dyDescent="0.2">
      <c r="B40" t="s">
        <v>6213</v>
      </c>
      <c r="C40" s="7">
        <v>399.48499999999996</v>
      </c>
      <c r="D40" s="7">
        <v>148.19999999999999</v>
      </c>
      <c r="E40" s="7">
        <v>388.21999999999997</v>
      </c>
      <c r="F40" s="7">
        <v>212.07499999999999</v>
      </c>
    </row>
    <row r="41" spans="1:6" x14ac:dyDescent="0.2">
      <c r="A41" t="s">
        <v>6201</v>
      </c>
      <c r="B41" t="s">
        <v>6202</v>
      </c>
      <c r="C41" s="7">
        <v>112.69499999999999</v>
      </c>
      <c r="D41" s="7">
        <v>166.32</v>
      </c>
      <c r="E41" s="7">
        <v>843.71499999999992</v>
      </c>
      <c r="F41" s="7">
        <v>146.685</v>
      </c>
    </row>
    <row r="42" spans="1:6" x14ac:dyDescent="0.2">
      <c r="B42" t="s">
        <v>6203</v>
      </c>
      <c r="C42" s="7">
        <v>114.87999999999998</v>
      </c>
      <c r="D42" s="7">
        <v>133.815</v>
      </c>
      <c r="E42" s="7">
        <v>91.175000000000011</v>
      </c>
      <c r="F42" s="7">
        <v>53.759999999999991</v>
      </c>
    </row>
    <row r="43" spans="1:6" x14ac:dyDescent="0.2">
      <c r="B43" t="s">
        <v>6204</v>
      </c>
      <c r="C43" s="7">
        <v>277.76</v>
      </c>
      <c r="D43" s="7">
        <v>175.41</v>
      </c>
      <c r="E43" s="7">
        <v>462.50999999999993</v>
      </c>
      <c r="F43" s="7">
        <v>399.52499999999998</v>
      </c>
    </row>
    <row r="44" spans="1:6" x14ac:dyDescent="0.2">
      <c r="B44" t="s">
        <v>6205</v>
      </c>
      <c r="C44" s="7">
        <v>197.89499999999998</v>
      </c>
      <c r="D44" s="7">
        <v>289.755</v>
      </c>
      <c r="E44" s="7">
        <v>88.545000000000002</v>
      </c>
      <c r="F44" s="7">
        <v>200.25499999999997</v>
      </c>
    </row>
    <row r="45" spans="1:6" x14ac:dyDescent="0.2">
      <c r="B45" t="s">
        <v>6206</v>
      </c>
      <c r="C45" s="7">
        <v>193.11499999999998</v>
      </c>
      <c r="D45" s="7">
        <v>212.49499999999998</v>
      </c>
      <c r="E45" s="7">
        <v>292.29000000000002</v>
      </c>
      <c r="F45" s="7">
        <v>304.46999999999997</v>
      </c>
    </row>
    <row r="46" spans="1:6" x14ac:dyDescent="0.2">
      <c r="B46" t="s">
        <v>6207</v>
      </c>
      <c r="C46" s="7">
        <v>179.79</v>
      </c>
      <c r="D46" s="7">
        <v>426.2</v>
      </c>
      <c r="E46" s="7">
        <v>170.08999999999997</v>
      </c>
      <c r="F46" s="7">
        <v>379.31</v>
      </c>
    </row>
    <row r="47" spans="1:6" x14ac:dyDescent="0.2">
      <c r="B47" t="s">
        <v>6208</v>
      </c>
      <c r="C47" s="7">
        <v>247.28999999999996</v>
      </c>
      <c r="D47" s="7">
        <v>246.685</v>
      </c>
      <c r="E47" s="7">
        <v>271.05499999999995</v>
      </c>
      <c r="F47" s="7">
        <v>141.69999999999999</v>
      </c>
    </row>
    <row r="48" spans="1:6" x14ac:dyDescent="0.2">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235A-6FA1-884B-A390-BD33DBD14A21}">
  <dimension ref="A3:B8"/>
  <sheetViews>
    <sheetView workbookViewId="0">
      <selection activeCell="J27" sqref="J27"/>
    </sheetView>
  </sheetViews>
  <sheetFormatPr baseColWidth="10" defaultRowHeight="15" x14ac:dyDescent="0.2"/>
  <cols>
    <col min="1" max="1" width="16" bestFit="1" customWidth="1"/>
    <col min="2" max="2" width="10.5" bestFit="1" customWidth="1"/>
    <col min="3" max="3" width="11.1640625" bestFit="1" customWidth="1"/>
    <col min="4" max="4" width="11.5" bestFit="1" customWidth="1"/>
    <col min="5" max="6" width="7.33203125" bestFit="1" customWidth="1"/>
  </cols>
  <sheetData>
    <row r="3" spans="1:2" x14ac:dyDescent="0.2">
      <c r="A3" s="6" t="s">
        <v>4</v>
      </c>
      <c r="B3" t="s">
        <v>6220</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B190-127C-564F-96D0-58544A13BC35}">
  <dimension ref="A3:B6"/>
  <sheetViews>
    <sheetView workbookViewId="0">
      <selection activeCell="D35" sqref="D35"/>
    </sheetView>
  </sheetViews>
  <sheetFormatPr baseColWidth="10" defaultRowHeight="15" x14ac:dyDescent="0.2"/>
  <cols>
    <col min="1" max="1" width="13.5" bestFit="1" customWidth="1"/>
    <col min="2" max="2" width="11.1640625" bestFit="1" customWidth="1"/>
    <col min="3" max="3" width="13.6640625" bestFit="1" customWidth="1"/>
    <col min="4" max="4" width="11.5" bestFit="1" customWidth="1"/>
    <col min="5" max="6" width="7.33203125" bestFit="1" customWidth="1"/>
  </cols>
  <sheetData>
    <row r="3" spans="1:2" x14ac:dyDescent="0.2">
      <c r="A3" s="6" t="s">
        <v>7</v>
      </c>
      <c r="B3" t="s">
        <v>6220</v>
      </c>
    </row>
    <row r="4" spans="1:2" x14ac:dyDescent="0.2">
      <c r="A4" t="s">
        <v>318</v>
      </c>
      <c r="B4" s="8">
        <v>6696.8649999999989</v>
      </c>
    </row>
    <row r="5" spans="1:2" x14ac:dyDescent="0.2">
      <c r="A5" t="s">
        <v>28</v>
      </c>
      <c r="B5" s="8">
        <v>2798.5050000000001</v>
      </c>
    </row>
    <row r="6" spans="1:2" x14ac:dyDescent="0.2">
      <c r="A6" t="s">
        <v>19</v>
      </c>
      <c r="B6" s="8">
        <v>35638.88499999998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7" zoomScaleNormal="117" workbookViewId="0">
      <selection activeCell="B4" sqref="B4:B6"/>
    </sheetView>
  </sheetViews>
  <sheetFormatPr baseColWidth="10" defaultColWidth="8.83203125" defaultRowHeight="15" x14ac:dyDescent="0.2"/>
  <cols>
    <col min="1" max="1" width="16.5" bestFit="1" customWidth="1"/>
    <col min="2" max="2" width="11.83203125" bestFit="1" customWidth="1"/>
    <col min="3" max="3" width="17.5" bestFit="1" customWidth="1"/>
    <col min="4" max="4" width="11.1640625" customWidth="1"/>
    <col min="5" max="5" width="9.83203125" customWidth="1"/>
    <col min="6" max="6" width="15.83203125" customWidth="1"/>
    <col min="7" max="7" width="33.83203125" bestFit="1" customWidth="1"/>
    <col min="8" max="8" width="11.1640625" bestFit="1" customWidth="1"/>
    <col min="9" max="9" width="12.33203125" customWidth="1"/>
    <col min="10" max="10" width="11.33203125" customWidth="1"/>
    <col min="11" max="11" width="6" customWidth="1"/>
    <col min="12" max="12" width="10.5" customWidth="1"/>
    <col min="13" max="13" width="7.6640625" bestFit="1" customWidth="1"/>
    <col min="14" max="14" width="17.33203125" customWidth="1"/>
    <col min="15" max="15" width="16.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 "Medium", IF(J2="L","Light", 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 "Medium", IF(J3="L","Light", 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 "Medium", IF(J67="L","Light", 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 "Medium", IF(J131="L","Light", 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 "Medium", IF(J195="L","Light", 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 "Medium", IF(J259="L","Light", 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 "Medium", IF(J323="L","Light", 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 "Medium", IF(J387="L","Light", 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 "Medium", IF(J451="L","Light", 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 "Medium", IF(J515="L","Light", 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 "Medium", IF(J579="L","Light", 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 "Medium", IF(J643="L","Light", 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 "Medium", IF(J707="L","Light", 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 "Medium", IF(J771="L","Light", 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 "Medium", IF(J835="L","Light", 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 "Medium", IF(J899="L","Light", 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 "Medium", IF(J963="L","Light", 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3" workbookViewId="0">
      <selection activeCell="H9" sqref="H9"/>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jai.joshi</cp:lastModifiedBy>
  <cp:revision/>
  <dcterms:created xsi:type="dcterms:W3CDTF">2022-11-26T09:51:45Z</dcterms:created>
  <dcterms:modified xsi:type="dcterms:W3CDTF">2026-02-23T03:24:46Z</dcterms:modified>
  <cp:category/>
  <cp:contentStatus/>
</cp:coreProperties>
</file>